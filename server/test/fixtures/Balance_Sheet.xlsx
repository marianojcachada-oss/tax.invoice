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7" i="1" l="1"/>
</calcChain>
</file>

<file path=xl/sharedStrings.xml><?xml version="1.0" encoding="utf-8"?>
<sst xmlns="http://schemas.openxmlformats.org/spreadsheetml/2006/main" count="68" uniqueCount="68">
  <si>
    <t>TAXI LASER LLC</t>
  </si>
  <si>
    <t>Balance Sheet</t>
  </si>
  <si>
    <t>As of Oct 20, 2026</t>
  </si>
  <si>
    <t>Assets</t>
  </si>
  <si>
    <t>Current Assets</t>
  </si>
  <si>
    <t>Bank Accounts</t>
  </si>
  <si>
    <t>10000 Cash on Hand</t>
  </si>
  <si>
    <t>10200 Bank of America 1611*</t>
  </si>
  <si>
    <t>10201 Bank of America 9859*</t>
  </si>
  <si>
    <t>10300 Chase Bank 5031*</t>
  </si>
  <si>
    <t>Total Bank Accounts</t>
  </si>
  <si>
    <t>Accounts Receivable</t>
  </si>
  <si>
    <t>11000 Accounts Receivable</t>
  </si>
  <si>
    <t>Total Accounts Receivable</t>
  </si>
  <si>
    <t>Other Current Assets</t>
  </si>
  <si>
    <t>13200 A/R Closed Acc Chase Bank 5031*</t>
  </si>
  <si>
    <t>14300 Estimated State Income Tax</t>
  </si>
  <si>
    <t>14400 Prepaid Expenses</t>
  </si>
  <si>
    <t>14500 Undeposited Funds</t>
  </si>
  <si>
    <t>Total Other Current Assets</t>
  </si>
  <si>
    <t>Total Current Assets</t>
  </si>
  <si>
    <t>Fixed Assets</t>
  </si>
  <si>
    <t>15100 Machinery &amp; Equipment</t>
  </si>
  <si>
    <t>15400 Vehicles</t>
  </si>
  <si>
    <t>16000 Accumulated Depreciation</t>
  </si>
  <si>
    <t>Total Fixed Assets</t>
  </si>
  <si>
    <t>Other Assets</t>
  </si>
  <si>
    <t>18000 Security Deposit</t>
  </si>
  <si>
    <t>Total Other Assets</t>
  </si>
  <si>
    <t>Total Assets</t>
  </si>
  <si>
    <t>Liabilities and Equity</t>
  </si>
  <si>
    <t>Liabilities</t>
  </si>
  <si>
    <t>Current Liabilities</t>
  </si>
  <si>
    <t>Accounts Payable</t>
  </si>
  <si>
    <t>20000 Accounts Payable</t>
  </si>
  <si>
    <t>Total Accounts Payable</t>
  </si>
  <si>
    <t>Credit Cards</t>
  </si>
  <si>
    <t>23000 Credit Card 7159</t>
  </si>
  <si>
    <t>23100 Credit Card 8426</t>
  </si>
  <si>
    <t>23200 Credit Card Chase 8991*</t>
  </si>
  <si>
    <t>23300 Credit Card Chase 6075</t>
  </si>
  <si>
    <t>Total Credit Cards</t>
  </si>
  <si>
    <t>Other Current Liabilities</t>
  </si>
  <si>
    <t>21000 Accrued Expenses</t>
  </si>
  <si>
    <t>24000 Payroll Liabilities</t>
  </si>
  <si>
    <t>24100 Federal Withholding &amp; FICA</t>
  </si>
  <si>
    <t>24200 State Withholding</t>
  </si>
  <si>
    <t>24300 Federal Unemployment FUTA</t>
  </si>
  <si>
    <t>24400 State Unemployment SUTA</t>
  </si>
  <si>
    <t>Total for 24000 Payroll Liabilities</t>
  </si>
  <si>
    <t>25100 Recollet other Clients</t>
  </si>
  <si>
    <t>Total Other Current Liabilities</t>
  </si>
  <si>
    <t>Total Current Liabilities</t>
  </si>
  <si>
    <t>Long-term Liabilities</t>
  </si>
  <si>
    <t>24500 State Income Tax Payable</t>
  </si>
  <si>
    <t>24600 BMW Loan Payable</t>
  </si>
  <si>
    <t>28100 Bank of America 2023 Chevrolet Tahoe</t>
  </si>
  <si>
    <t>Total Long-term Liabilities</t>
  </si>
  <si>
    <t>Total Liabilities</t>
  </si>
  <si>
    <t>Equity</t>
  </si>
  <si>
    <t>30300 Member 1 Draws</t>
  </si>
  <si>
    <t>32000 Retained Earnings</t>
  </si>
  <si>
    <t>Net Income</t>
  </si>
  <si>
    <t>Total Equity</t>
  </si>
  <si>
    <t>Total Liabilities and Equity</t>
  </si>
  <si>
    <t/>
  </si>
  <si>
    <t>Total</t>
  </si>
  <si>
    <t>Accrual Basis Tuesday, October 20, 2026 08:09 PM GMT-03:00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</si>
</sst>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61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177" fontId="3" fillId="0" borderId="0" xfId="0" applyNumberFormat="1" applyFont="1"/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5" fillId="0" borderId="0" xfId="0" applyFont="1" applyAlignment="1">
      <alignment horizontal="left" indent="3"/>
    </xf>
    <xf numFmtId="0" fontId="3" fillId="0" borderId="0" xfId="0" applyFont="1"/>
    <xf numFmtId="0" fontId="0" fillId="0" borderId="0" xfId="0" applyAlignment="1">
      <alignment horizontal="left" indent="5"/>
    </xf>
    <xf numFmtId="0" fontId="3" fillId="0" borderId="0" xfId="0" applyFont="1" applyAlignment="1">
      <alignment horizontal="left" indent="5"/>
    </xf>
    <xf numFmtId="0" fontId="2" fillId="0" borderId="0" xfId="0" applyFont="1" applyAlignment="1">
      <alignment horizontal="left" indent="4"/>
    </xf>
    <xf numFmtId="0" fontId="5" fillId="0" borderId="0" xfId="0" applyFont="1" applyAlignment="1">
      <alignment horizontal="left" indent="4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4"/>
    </xf>
    <xf numFmtId="0" fontId="5" fillId="0" borderId="0" xfId="0" applyFont="1" applyAlignment="1">
      <alignment horizontal="left" wrapText="1" indent="3"/>
    </xf>
    <xf numFmtId="0" fontId="3" fillId="0" borderId="0" xfId="0" applyFont="1" applyAlignment="1">
      <alignment horizontal="left" wrapText="1" indent="5"/>
    </xf>
    <xf numFmtId="0" fontId="5" fillId="0" borderId="0" xfId="0" applyFont="1" applyAlignment="1">
      <alignment horizontal="left" wrapText="1" indent="4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5" fillId="0" borderId="2" xfId="0" applyNumberFormat="1" applyFont="1" applyBorder="1" applyAlignment="1">
      <alignment wrapText="1"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4" fillId="0" borderId="1" xfId="20" applyFont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71"/>
  <sheetViews>
    <sheetView tabSelected="1" workbookViewId="0" topLeftCell="A1"/>
  </sheetViews>
  <sheetFormatPr defaultColWidth="11.255" defaultRowHeight="16"/>
  <cols>
    <col min="1" max="1" width="36.75" style="52" customWidth="1"/>
    <col min="2" max="2" width="17" style="52" customWidth="1"/>
  </cols>
  <sheetData>
    <row r="1" spans="1:1" ht="16">
      <c r="A1" s="37" t="s">
        <v>0</v>
      </c>
    </row>
    <row r="2" spans="1:1" ht="16">
      <c r="A2" s="38" t="s">
        <v>1</v>
      </c>
    </row>
    <row r="3" spans="1:1" ht="16">
      <c r="A3" s="39" t="s">
        <v>2</v>
      </c>
    </row>
    <row r="5" spans="1:2" ht="16">
      <c r="A5" s="54" t="s">
        <v>65</v>
      </c>
      <c r="B5" s="59" t="s">
        <v>66</v>
      </c>
    </row>
    <row r="6" spans="1:1" ht="16">
      <c r="A6" s="41" t="s">
        <v>3</v>
      </c>
    </row>
    <row r="7" spans="1:1" ht="16">
      <c r="A7" s="42" t="s">
        <v>4</v>
      </c>
    </row>
    <row r="8" spans="1:1" ht="16">
      <c r="A8" s="43" t="s">
        <v>5</v>
      </c>
    </row>
    <row r="9" spans="1:2" ht="16">
      <c r="A9" s="44" t="s">
        <v>6</v>
      </c>
      <c r="B9" s="55">
        <v>0</v>
      </c>
    </row>
    <row r="10" spans="1:2" ht="16">
      <c r="A10" s="44" t="s">
        <v>7</v>
      </c>
      <c r="B10" s="55">
        <v>495024.28</v>
      </c>
    </row>
    <row r="11" spans="1:2" ht="16">
      <c r="A11" s="44" t="s">
        <v>8</v>
      </c>
      <c r="B11" s="55">
        <v>117356.19</v>
      </c>
    </row>
    <row r="12" spans="1:2" ht="16">
      <c r="A12" s="44" t="s">
        <v>9</v>
      </c>
      <c r="B12" s="55">
        <v>0</v>
      </c>
    </row>
    <row r="13" spans="1:2" ht="16">
      <c r="A13" s="45" t="s">
        <v>10</v>
      </c>
      <c r="B13" s="56">
        <f>B8+B9+B10+B11+B12</f>
        <v>612380.47</v>
      </c>
    </row>
    <row r="14" spans="1:1" ht="16">
      <c r="A14" s="43" t="s">
        <v>11</v>
      </c>
    </row>
    <row r="15" spans="1:2" ht="16">
      <c r="A15" s="44" t="s">
        <v>12</v>
      </c>
      <c r="B15" s="55">
        <v>38900.27</v>
      </c>
    </row>
    <row r="16" spans="1:2" ht="16">
      <c r="A16" s="45" t="s">
        <v>13</v>
      </c>
      <c r="B16" s="56">
        <f>B14+B15</f>
        <v>38900.27</v>
      </c>
    </row>
    <row r="17" spans="1:1" ht="16">
      <c r="A17" s="43" t="s">
        <v>14</v>
      </c>
    </row>
    <row r="18" spans="1:2" ht="16">
      <c r="A18" s="44" t="s">
        <v>15</v>
      </c>
      <c r="B18" s="57">
        <v>0</v>
      </c>
    </row>
    <row r="19" spans="1:2" ht="16">
      <c r="A19" s="44" t="s">
        <v>16</v>
      </c>
      <c r="B19" s="57">
        <v>0</v>
      </c>
    </row>
    <row r="20" spans="1:2" ht="16">
      <c r="A20" s="44" t="s">
        <v>17</v>
      </c>
      <c r="B20" s="55">
        <v>23256.0</v>
      </c>
    </row>
    <row r="21" spans="1:2" ht="16">
      <c r="A21" s="44" t="s">
        <v>18</v>
      </c>
      <c r="B21" s="55">
        <v>18112.0</v>
      </c>
    </row>
    <row r="22" spans="1:2" ht="16">
      <c r="A22" s="45" t="s">
        <v>19</v>
      </c>
      <c r="B22" s="56">
        <f>B17+B18+B19+B20+B21</f>
        <v>41368.0</v>
      </c>
    </row>
    <row r="23" spans="1:2" ht="16">
      <c r="A23" s="46" t="s">
        <v>20</v>
      </c>
      <c r="B23" s="56">
        <f>B7+B13+B16+B22</f>
        <v>692648.74</v>
      </c>
    </row>
    <row r="24" spans="1:1" ht="16">
      <c r="A24" s="42" t="s">
        <v>21</v>
      </c>
    </row>
    <row r="25" spans="1:2" ht="16">
      <c r="A25" s="43" t="s">
        <v>22</v>
      </c>
      <c r="B25" s="55">
        <v>3177.88</v>
      </c>
    </row>
    <row r="26" spans="1:2" ht="16">
      <c r="A26" s="43" t="s">
        <v>23</v>
      </c>
      <c r="B26" s="55">
        <v>162147.0</v>
      </c>
    </row>
    <row r="27" spans="1:2" ht="16">
      <c r="A27" s="43" t="s">
        <v>24</v>
      </c>
      <c r="B27" s="55">
        <v>-162871.09</v>
      </c>
    </row>
    <row r="28" spans="1:2" ht="16">
      <c r="A28" s="46" t="s">
        <v>25</v>
      </c>
      <c r="B28" s="56">
        <f>B24+B25+B26+B27</f>
        <v>2453.790000000008</v>
      </c>
    </row>
    <row r="29" spans="1:1" ht="16">
      <c r="A29" s="42" t="s">
        <v>26</v>
      </c>
    </row>
    <row r="30" spans="1:2" ht="16">
      <c r="A30" s="43" t="s">
        <v>27</v>
      </c>
      <c r="B30" s="55">
        <v>4250.0</v>
      </c>
    </row>
    <row r="31" spans="1:2" ht="16">
      <c r="A31" s="46" t="s">
        <v>28</v>
      </c>
      <c r="B31" s="56">
        <f>B29+B30</f>
        <v>4250.0</v>
      </c>
    </row>
    <row r="32" spans="1:2" ht="16">
      <c r="A32" s="47" t="s">
        <v>29</v>
      </c>
      <c r="B32" s="56">
        <f>B6+B23+B28+B31</f>
        <v>699352.53</v>
      </c>
    </row>
    <row r="33" spans="1:1" ht="16">
      <c r="A33" s="41" t="s">
        <v>30</v>
      </c>
    </row>
    <row r="34" spans="1:1" ht="16">
      <c r="A34" s="42" t="s">
        <v>31</v>
      </c>
    </row>
    <row r="35" spans="1:1" ht="16">
      <c r="A35" s="43" t="s">
        <v>32</v>
      </c>
    </row>
    <row r="36" spans="1:1" ht="16">
      <c r="A36" s="44" t="s">
        <v>33</v>
      </c>
    </row>
    <row r="37" spans="1:2" ht="16">
      <c r="A37" s="48" t="s">
        <v>34</v>
      </c>
      <c r="B37" s="55">
        <v>1527.05</v>
      </c>
    </row>
    <row r="38" spans="1:2" ht="16">
      <c r="A38" s="49" t="s">
        <v>35</v>
      </c>
      <c r="B38" s="56">
        <f>B36+B37</f>
        <v>1527.05</v>
      </c>
    </row>
    <row r="39" spans="1:1" ht="16">
      <c r="A39" s="44" t="s">
        <v>36</v>
      </c>
    </row>
    <row r="40" spans="1:2" ht="16">
      <c r="A40" s="48" t="s">
        <v>37</v>
      </c>
      <c r="B40" s="55">
        <v>-10222.46</v>
      </c>
    </row>
    <row r="41" spans="1:2" ht="16">
      <c r="A41" s="48" t="s">
        <v>38</v>
      </c>
      <c r="B41" s="55">
        <v>-2355.51</v>
      </c>
    </row>
    <row r="42" spans="1:2" ht="16">
      <c r="A42" s="48" t="s">
        <v>39</v>
      </c>
      <c r="B42" s="57">
        <v>0</v>
      </c>
    </row>
    <row r="43" spans="1:2" ht="16">
      <c r="A43" s="48" t="s">
        <v>40</v>
      </c>
      <c r="B43" s="55">
        <v>-2122.01</v>
      </c>
    </row>
    <row r="44" spans="1:2" ht="16">
      <c r="A44" s="49" t="s">
        <v>41</v>
      </c>
      <c r="B44" s="56">
        <f>B39+B40+B41+B42+B43</f>
        <v>-14699.98</v>
      </c>
    </row>
    <row r="45" spans="1:1" ht="16">
      <c r="A45" s="44" t="s">
        <v>42</v>
      </c>
    </row>
    <row r="46" spans="1:2" ht="16">
      <c r="A46" s="48" t="s">
        <v>43</v>
      </c>
      <c r="B46" s="57">
        <v>0</v>
      </c>
    </row>
    <row r="47" spans="1:2" ht="16">
      <c r="A47" s="48" t="s">
        <v>44</v>
      </c>
      <c r="B47" s="58"/>
    </row>
    <row r="48" spans="1:2" ht="16">
      <c r="A48" s="50" t="s">
        <v>45</v>
      </c>
      <c r="B48" s="55">
        <v>9039.43</v>
      </c>
    </row>
    <row r="49" spans="1:2" ht="16">
      <c r="A49" s="50" t="s">
        <v>46</v>
      </c>
      <c r="B49" s="55">
        <v>1319.65</v>
      </c>
    </row>
    <row r="50" spans="1:2" ht="16">
      <c r="A50" s="50" t="s">
        <v>47</v>
      </c>
      <c r="B50" s="55">
        <v>34.1</v>
      </c>
    </row>
    <row r="51" spans="1:2" ht="16">
      <c r="A51" s="50" t="s">
        <v>48</v>
      </c>
      <c r="B51" s="55">
        <v>221.02</v>
      </c>
    </row>
    <row r="52" spans="1:2" ht="16">
      <c r="A52" s="51" t="s">
        <v>49</v>
      </c>
      <c r="B52" s="56">
        <f>B47+B48+B49+B50+B51</f>
        <v>10614.2</v>
      </c>
    </row>
    <row r="53" spans="1:2" ht="16">
      <c r="A53" s="48" t="s">
        <v>50</v>
      </c>
      <c r="B53" s="55">
        <v>588.71</v>
      </c>
    </row>
    <row r="54" spans="1:2" ht="16">
      <c r="A54" s="49" t="s">
        <v>51</v>
      </c>
      <c r="B54" s="56">
        <f>B45+B46+B52+B53</f>
        <v>11202.91</v>
      </c>
    </row>
    <row r="55" spans="1:2" ht="16">
      <c r="A55" s="45" t="s">
        <v>52</v>
      </c>
      <c r="B55" s="56">
        <f>B35+B38+B44+B54</f>
        <v>-1970.0200000000004</v>
      </c>
    </row>
    <row r="56" spans="1:1" ht="16">
      <c r="A56" s="43" t="s">
        <v>53</v>
      </c>
    </row>
    <row r="57" spans="1:2" ht="16">
      <c r="A57" s="44" t="s">
        <v>54</v>
      </c>
      <c r="B57" s="57">
        <v>0</v>
      </c>
    </row>
    <row r="58" spans="1:2" ht="16">
      <c r="A58" s="44" t="s">
        <v>55</v>
      </c>
      <c r="B58" s="55">
        <v>25991.72</v>
      </c>
    </row>
    <row r="59" spans="1:2" ht="16">
      <c r="A59" s="44" t="s">
        <v>56</v>
      </c>
      <c r="B59" s="55">
        <v>14838.34</v>
      </c>
    </row>
    <row r="60" spans="1:2" ht="16">
      <c r="A60" s="45" t="s">
        <v>57</v>
      </c>
      <c r="B60" s="56">
        <f>B56+B57+B58+B59</f>
        <v>40830.06</v>
      </c>
    </row>
    <row r="61" spans="1:2" ht="16">
      <c r="A61" s="46" t="s">
        <v>58</v>
      </c>
      <c r="B61" s="56">
        <f>B34+B55+B60</f>
        <v>38860.03999999999</v>
      </c>
    </row>
    <row r="62" spans="1:1" ht="16">
      <c r="A62" s="42" t="s">
        <v>59</v>
      </c>
    </row>
    <row r="63" spans="1:2" ht="16">
      <c r="A63" s="43" t="s">
        <v>60</v>
      </c>
      <c r="B63" s="55">
        <v>-1557514.54</v>
      </c>
    </row>
    <row r="64" spans="1:2" ht="16">
      <c r="A64" s="43" t="s">
        <v>61</v>
      </c>
      <c r="B64" s="55">
        <v>904315.1199999973</v>
      </c>
    </row>
    <row r="65" spans="1:2" ht="16">
      <c r="A65" s="43" t="s">
        <v>62</v>
      </c>
      <c r="B65" s="55">
        <v>1313691.9099999997</v>
      </c>
    </row>
    <row r="66" spans="1:2" ht="16">
      <c r="A66" s="46" t="s">
        <v>63</v>
      </c>
      <c r="B66" s="56">
        <f>B62+B63+B64+B65</f>
        <v>660492.489999997</v>
      </c>
    </row>
    <row r="67" spans="1:2" ht="16">
      <c r="A67" s="47" t="s">
        <v>64</v>
      </c>
      <c r="B67" s="56">
        <f>B33+B61+B66</f>
        <v>699352.529999997</v>
      </c>
    </row>
    <row r="71" spans="1:1" ht="16">
      <c r="A71" s="60" t="s">
        <v>67</v>
      </c>
    </row>
  </sheetData>
  <mergeCells count="4">
    <mergeCell ref="A1:B1"/>
    <mergeCell ref="A2:B2"/>
    <mergeCell ref="A3:B3"/>
    <mergeCell ref="A71:B7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