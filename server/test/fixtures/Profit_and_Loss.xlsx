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" l="1"/>
</calcChain>
</file>

<file path=xl/sharedStrings.xml><?xml version="1.0" encoding="utf-8"?>
<sst xmlns="http://schemas.openxmlformats.org/spreadsheetml/2006/main" count="58" uniqueCount="58">
  <si>
    <t>TAXI LASER LLC</t>
  </si>
  <si>
    <t>Profit and Loss</t>
  </si>
  <si>
    <t>January 1-October 20, 2026</t>
  </si>
  <si>
    <t>Income</t>
  </si>
  <si>
    <t>40000 Taxis Income</t>
  </si>
  <si>
    <t>40001 Subscription Income</t>
  </si>
  <si>
    <t>40002 Fines Income</t>
  </si>
  <si>
    <t>40003 Assistance Income</t>
  </si>
  <si>
    <t>40005 Discounts</t>
  </si>
  <si>
    <t>41000 Refunds</t>
  </si>
  <si>
    <t>41001 Other Sales</t>
  </si>
  <si>
    <t>Total Income</t>
  </si>
  <si>
    <t>Cost of Goods Sold</t>
  </si>
  <si>
    <t>51000 TaxiCaller Subscription</t>
  </si>
  <si>
    <t>52000 Zello communication</t>
  </si>
  <si>
    <t>Total Cost of Goods Sold</t>
  </si>
  <si>
    <t>Gross Profit</t>
  </si>
  <si>
    <t>Expenses</t>
  </si>
  <si>
    <t>60000 Labor Expense</t>
  </si>
  <si>
    <t>60100 Wages &amp; Salaries</t>
  </si>
  <si>
    <t>60200 Officer Salary</t>
  </si>
  <si>
    <t>60300 Payroll Expenses</t>
  </si>
  <si>
    <t>60400 Subcontractors</t>
  </si>
  <si>
    <t>60910 Payroll Accrued Expenses</t>
  </si>
  <si>
    <t>Total for 60000 Labor Expense</t>
  </si>
  <si>
    <t>61000 Advertising &amp; Promotion</t>
  </si>
  <si>
    <t>61100 Auto Expense</t>
  </si>
  <si>
    <t>61200 Bank Service Charges</t>
  </si>
  <si>
    <t>61300 Merchant Card Fees</t>
  </si>
  <si>
    <t>61700 Computer and Software Expenses</t>
  </si>
  <si>
    <t>61800 Donation</t>
  </si>
  <si>
    <t>63000 Dues &amp; Subscriptions</t>
  </si>
  <si>
    <t>63300 Insurance Expense</t>
  </si>
  <si>
    <t>63301 Health Insurance</t>
  </si>
  <si>
    <t>63400 Interest Expense</t>
  </si>
  <si>
    <t>63500 Security Expenses</t>
  </si>
  <si>
    <t>64300 Meals Expense</t>
  </si>
  <si>
    <t>64500 Janitorial Expenses</t>
  </si>
  <si>
    <t>64900 Office Supplies</t>
  </si>
  <si>
    <t>66700 Legal and Professional Fees</t>
  </si>
  <si>
    <t>67000 Rent Expense</t>
  </si>
  <si>
    <t>67200 Repairs and Maintenance</t>
  </si>
  <si>
    <t>68600 Utilities</t>
  </si>
  <si>
    <t>68100 Telephone Expense</t>
  </si>
  <si>
    <t>68200 Internet</t>
  </si>
  <si>
    <t>68300 Electricity</t>
  </si>
  <si>
    <t>Total for 68600 Utilities</t>
  </si>
  <si>
    <t>Total Expenses</t>
  </si>
  <si>
    <t>Net Operating Income</t>
  </si>
  <si>
    <t>Other Expenses</t>
  </si>
  <si>
    <t>81100 Depreciation Expense</t>
  </si>
  <si>
    <t>85000 Thefts</t>
  </si>
  <si>
    <t>Total Other Expenses</t>
  </si>
  <si>
    <t>Net Other Income</t>
  </si>
  <si>
    <t>Net Income</t>
  </si>
  <si>
    <t/>
  </si>
  <si>
    <t>Total</t>
  </si>
  <si>
    <t>Accrual Basis Tuesday, October 20, 2026 08:09 PM GMT-03:00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</si>
</sst>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61"/>
  <sheetViews>
    <sheetView tabSelected="1" workbookViewId="0" topLeftCell="A1"/>
  </sheetViews>
  <sheetFormatPr defaultColWidth="11.255" defaultRowHeight="16"/>
  <cols>
    <col min="1" max="1" width="31.625" style="33" customWidth="1"/>
    <col min="2" max="2" width="16.125" style="33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2" ht="16">
      <c r="A5" s="35" t="s">
        <v>55</v>
      </c>
      <c r="B5" s="39" t="s">
        <v>56</v>
      </c>
    </row>
    <row r="6" spans="1:1" ht="16">
      <c r="A6" s="28" t="s">
        <v>3</v>
      </c>
    </row>
    <row r="7" spans="1:2" ht="16">
      <c r="A7" s="29" t="s">
        <v>4</v>
      </c>
      <c r="B7" s="36">
        <v>2678305.05</v>
      </c>
    </row>
    <row r="8" spans="1:2" ht="16">
      <c r="A8" s="29" t="s">
        <v>5</v>
      </c>
      <c r="B8" s="36">
        <v>30985.0</v>
      </c>
    </row>
    <row r="9" spans="1:2" ht="16">
      <c r="A9" s="29" t="s">
        <v>6</v>
      </c>
      <c r="B9" s="36">
        <v>183601.9</v>
      </c>
    </row>
    <row r="10" spans="1:2" ht="16">
      <c r="A10" s="29" t="s">
        <v>7</v>
      </c>
      <c r="B10" s="36">
        <v>8640.0</v>
      </c>
    </row>
    <row r="11" spans="1:2" ht="16">
      <c r="A11" s="29" t="s">
        <v>8</v>
      </c>
      <c r="B11" s="36">
        <v>-15742.84</v>
      </c>
    </row>
    <row r="12" spans="1:2" ht="16">
      <c r="A12" s="29" t="s">
        <v>9</v>
      </c>
      <c r="B12" s="36">
        <v>-4266.33</v>
      </c>
    </row>
    <row r="13" spans="1:2" ht="16">
      <c r="A13" s="29" t="s">
        <v>10</v>
      </c>
      <c r="B13" s="36">
        <v>631.0</v>
      </c>
    </row>
    <row r="14" spans="1:2" ht="16">
      <c r="A14" s="30" t="s">
        <v>11</v>
      </c>
      <c r="B14" s="37">
        <f>B6+B7+B8+B9+B10+B11+B12+B13</f>
        <v>2882153.78</v>
      </c>
    </row>
    <row r="15" spans="1:1" ht="16">
      <c r="A15" s="28" t="s">
        <v>12</v>
      </c>
    </row>
    <row r="16" spans="1:2" ht="16">
      <c r="A16" s="29" t="s">
        <v>13</v>
      </c>
      <c r="B16" s="36">
        <v>67376.36</v>
      </c>
    </row>
    <row r="17" spans="1:2" ht="16">
      <c r="A17" s="29" t="s">
        <v>14</v>
      </c>
      <c r="B17" s="36">
        <v>33266.09</v>
      </c>
    </row>
    <row r="18" spans="1:2" ht="16">
      <c r="A18" s="30" t="s">
        <v>15</v>
      </c>
      <c r="B18" s="37">
        <f>B15+B16+B17</f>
        <v>100642.45</v>
      </c>
    </row>
    <row r="19" spans="1:2" ht="16">
      <c r="A19" s="30" t="s">
        <v>16</v>
      </c>
      <c r="B19" s="37">
        <f>B14-B18</f>
        <v>2781511.3299999996</v>
      </c>
    </row>
    <row r="20" spans="1:1" ht="16">
      <c r="A20" s="28" t="s">
        <v>17</v>
      </c>
    </row>
    <row r="21" spans="1:2" ht="16">
      <c r="A21" s="29" t="s">
        <v>18</v>
      </c>
      <c r="B21" s="38"/>
    </row>
    <row r="22" spans="1:2" ht="16">
      <c r="A22" s="31" t="s">
        <v>19</v>
      </c>
      <c r="B22" s="36">
        <v>14534.02</v>
      </c>
    </row>
    <row r="23" spans="1:2" ht="16">
      <c r="A23" s="31" t="s">
        <v>20</v>
      </c>
      <c r="B23" s="36">
        <v>224910.36</v>
      </c>
    </row>
    <row r="24" spans="1:2" ht="16">
      <c r="A24" s="31" t="s">
        <v>21</v>
      </c>
      <c r="B24" s="36">
        <v>19632.96</v>
      </c>
    </row>
    <row r="25" spans="1:2" ht="16">
      <c r="A25" s="31" t="s">
        <v>22</v>
      </c>
      <c r="B25" s="36">
        <v>790296.47</v>
      </c>
    </row>
    <row r="26" spans="1:2" ht="16">
      <c r="A26" s="31" t="s">
        <v>23</v>
      </c>
      <c r="B26" s="36">
        <v>-3003.98</v>
      </c>
    </row>
    <row r="27" spans="1:2" ht="16">
      <c r="A27" s="32" t="s">
        <v>24</v>
      </c>
      <c r="B27" s="37">
        <f>B21+B22+B23+B24+B25+B26</f>
        <v>1046369.8300000001</v>
      </c>
    </row>
    <row r="28" spans="1:2" ht="16">
      <c r="A28" s="29" t="s">
        <v>25</v>
      </c>
      <c r="B28" s="36">
        <v>78239.72</v>
      </c>
    </row>
    <row r="29" spans="1:2" ht="16">
      <c r="A29" s="29" t="s">
        <v>26</v>
      </c>
      <c r="B29" s="36">
        <v>25502.87</v>
      </c>
    </row>
    <row r="30" spans="1:2" ht="16">
      <c r="A30" s="29" t="s">
        <v>27</v>
      </c>
      <c r="B30" s="36">
        <v>134.96</v>
      </c>
    </row>
    <row r="31" spans="1:2" ht="16">
      <c r="A31" s="29" t="s">
        <v>28</v>
      </c>
      <c r="B31" s="36">
        <v>6364.74</v>
      </c>
    </row>
    <row r="32" spans="1:2" ht="16">
      <c r="A32" s="29" t="s">
        <v>29</v>
      </c>
      <c r="B32" s="36">
        <v>23115.77</v>
      </c>
    </row>
    <row r="33" spans="1:2" ht="16">
      <c r="A33" s="29" t="s">
        <v>30</v>
      </c>
      <c r="B33" s="36">
        <v>280.0</v>
      </c>
    </row>
    <row r="34" spans="1:2" ht="16">
      <c r="A34" s="29" t="s">
        <v>31</v>
      </c>
      <c r="B34" s="36">
        <v>614.55</v>
      </c>
    </row>
    <row r="35" spans="1:2" ht="16">
      <c r="A35" s="29" t="s">
        <v>32</v>
      </c>
      <c r="B35" s="36">
        <v>9017.29</v>
      </c>
    </row>
    <row r="36" spans="1:2" ht="16">
      <c r="A36" s="29" t="s">
        <v>33</v>
      </c>
      <c r="B36" s="36">
        <v>86050.61</v>
      </c>
    </row>
    <row r="37" spans="1:2" ht="16">
      <c r="A37" s="29" t="s">
        <v>34</v>
      </c>
      <c r="B37" s="36">
        <v>3226.25</v>
      </c>
    </row>
    <row r="38" spans="1:2" ht="16">
      <c r="A38" s="29" t="s">
        <v>35</v>
      </c>
      <c r="B38" s="36">
        <v>6800.0</v>
      </c>
    </row>
    <row r="39" spans="1:2" ht="16">
      <c r="A39" s="29" t="s">
        <v>36</v>
      </c>
      <c r="B39" s="36">
        <v>1727.12</v>
      </c>
    </row>
    <row r="40" spans="1:2" ht="16">
      <c r="A40" s="29" t="s">
        <v>37</v>
      </c>
      <c r="B40" s="36">
        <v>1500.0</v>
      </c>
    </row>
    <row r="41" spans="1:2" ht="16">
      <c r="A41" s="29" t="s">
        <v>38</v>
      </c>
      <c r="B41" s="36">
        <v>8377.32</v>
      </c>
    </row>
    <row r="42" spans="1:2" ht="16">
      <c r="A42" s="29" t="s">
        <v>39</v>
      </c>
      <c r="B42" s="36">
        <v>97216.02</v>
      </c>
    </row>
    <row r="43" spans="1:2" ht="16">
      <c r="A43" s="29" t="s">
        <v>40</v>
      </c>
      <c r="B43" s="36">
        <v>20547.09</v>
      </c>
    </row>
    <row r="44" spans="1:2" ht="16">
      <c r="A44" s="29" t="s">
        <v>41</v>
      </c>
      <c r="B44" s="36">
        <v>4013.4</v>
      </c>
    </row>
    <row r="45" spans="1:2" ht="16">
      <c r="A45" s="29" t="s">
        <v>42</v>
      </c>
      <c r="B45" s="38"/>
    </row>
    <row r="46" spans="1:2" ht="16">
      <c r="A46" s="31" t="s">
        <v>43</v>
      </c>
      <c r="B46" s="36">
        <v>40330.05</v>
      </c>
    </row>
    <row r="47" spans="1:2" ht="16">
      <c r="A47" s="31" t="s">
        <v>44</v>
      </c>
      <c r="B47" s="36">
        <v>2541.52</v>
      </c>
    </row>
    <row r="48" spans="1:2" ht="16">
      <c r="A48" s="31" t="s">
        <v>45</v>
      </c>
      <c r="B48" s="36">
        <v>4683.75</v>
      </c>
    </row>
    <row r="49" spans="1:2" ht="16">
      <c r="A49" s="32" t="s">
        <v>46</v>
      </c>
      <c r="B49" s="37">
        <f>B45+B46+B47+B48</f>
        <v>47555.32</v>
      </c>
    </row>
    <row r="50" spans="1:2" ht="16">
      <c r="A50" s="30" t="s">
        <v>47</v>
      </c>
      <c r="B50" s="37">
        <f>B20+B27+B28+B29+B30+B31+B32+B33+B34+B35+B36+B37+B38+B39+B40+B41+B42+B43+B44+B49</f>
        <v>1466652.8600000006</v>
      </c>
    </row>
    <row r="51" spans="1:2" ht="16">
      <c r="A51" s="30" t="s">
        <v>48</v>
      </c>
      <c r="B51" s="37">
        <f>B19-B50</f>
        <v>1314858.469999999</v>
      </c>
    </row>
    <row r="52" spans="1:1" ht="16">
      <c r="A52" s="28" t="s">
        <v>49</v>
      </c>
    </row>
    <row r="53" spans="1:2" ht="16">
      <c r="A53" s="29" t="s">
        <v>50</v>
      </c>
      <c r="B53" s="36">
        <v>1051.56</v>
      </c>
    </row>
    <row r="54" spans="1:2" ht="16">
      <c r="A54" s="29" t="s">
        <v>51</v>
      </c>
      <c r="B54" s="36">
        <v>115.0</v>
      </c>
    </row>
    <row r="55" spans="1:2" ht="16">
      <c r="A55" s="30" t="s">
        <v>52</v>
      </c>
      <c r="B55" s="37">
        <f>B52+B53+B54</f>
        <v>1166.56</v>
      </c>
    </row>
    <row r="56" spans="1:2" ht="16">
      <c r="A56" s="30" t="s">
        <v>53</v>
      </c>
      <c r="B56" s="37">
        <f>0-B55</f>
        <v>-1166.56</v>
      </c>
    </row>
    <row r="57" spans="1:2" ht="16">
      <c r="A57" s="30" t="s">
        <v>54</v>
      </c>
      <c r="B57" s="37">
        <f>B51+B56</f>
        <v>1313691.909999999</v>
      </c>
    </row>
    <row r="61" spans="1:1" ht="16">
      <c r="A61" s="40" t="s">
        <v>57</v>
      </c>
    </row>
  </sheetData>
  <mergeCells count="4">
    <mergeCell ref="A1:B1"/>
    <mergeCell ref="A2:B2"/>
    <mergeCell ref="A3:B3"/>
    <mergeCell ref="A61:B6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